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Users\Siddharth S Bhandari\Desktop\"/>
    </mc:Choice>
  </mc:AlternateContent>
  <xr:revisionPtr revIDLastSave="0" documentId="11_09380A55B3A535A53139DDD4C74E93A2F9B96B00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irst Metho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0" i="1" l="1"/>
  <c r="H20" i="1"/>
  <c r="K20" i="1" s="1"/>
  <c r="G20" i="1"/>
  <c r="F20" i="1"/>
  <c r="I20" i="1" s="1"/>
  <c r="H19" i="1"/>
  <c r="K19" i="1" s="1"/>
  <c r="G19" i="1"/>
  <c r="J19" i="1" s="1"/>
  <c r="F19" i="1"/>
  <c r="I19" i="1" s="1"/>
  <c r="J18" i="1"/>
  <c r="H18" i="1"/>
  <c r="K18" i="1" s="1"/>
  <c r="G18" i="1"/>
  <c r="F18" i="1"/>
  <c r="I18" i="1" s="1"/>
  <c r="H17" i="1"/>
  <c r="K17" i="1" s="1"/>
  <c r="G17" i="1"/>
  <c r="J17" i="1" s="1"/>
  <c r="F17" i="1"/>
  <c r="I17" i="1" s="1"/>
  <c r="H16" i="1"/>
  <c r="G16" i="1"/>
  <c r="J16" i="1" s="1"/>
  <c r="F16" i="1"/>
  <c r="I16" i="1" s="1"/>
  <c r="H15" i="1"/>
  <c r="G15" i="1"/>
  <c r="J15" i="1" s="1"/>
  <c r="F15" i="1"/>
  <c r="I15" i="1" s="1"/>
  <c r="K14" i="1"/>
  <c r="J14" i="1"/>
  <c r="H14" i="1"/>
  <c r="G14" i="1"/>
  <c r="F14" i="1"/>
  <c r="I14" i="1" s="1"/>
  <c r="H13" i="1"/>
  <c r="K13" i="1" s="1"/>
  <c r="G13" i="1"/>
  <c r="J13" i="1" s="1"/>
  <c r="F13" i="1"/>
  <c r="I13" i="1" s="1"/>
  <c r="K12" i="1"/>
  <c r="J12" i="1"/>
  <c r="H12" i="1"/>
  <c r="G12" i="1"/>
  <c r="F12" i="1"/>
  <c r="I12" i="1" s="1"/>
  <c r="J11" i="1"/>
  <c r="I11" i="1"/>
  <c r="H11" i="1"/>
  <c r="K11" i="1" s="1"/>
  <c r="J10" i="1"/>
  <c r="J23" i="1" s="1"/>
  <c r="J24" i="1" s="1"/>
  <c r="J25" i="1" s="1"/>
  <c r="I10" i="1"/>
  <c r="I23" i="1" s="1"/>
  <c r="I24" i="1" s="1"/>
  <c r="I25" i="1" s="1"/>
  <c r="H10" i="1"/>
  <c r="K10" i="1" s="1"/>
  <c r="G10" i="1"/>
  <c r="F10" i="1"/>
  <c r="K23" i="1" l="1"/>
  <c r="K24" i="1" s="1"/>
  <c r="K25" i="1" s="1"/>
  <c r="D21" i="1" s="1"/>
  <c r="K21" i="1"/>
  <c r="I21" i="1"/>
  <c r="J21" i="1"/>
</calcChain>
</file>

<file path=xl/sharedStrings.xml><?xml version="1.0" encoding="utf-8"?>
<sst xmlns="http://schemas.openxmlformats.org/spreadsheetml/2006/main" count="68" uniqueCount="42">
  <si>
    <t>CT UNIVERSITY</t>
  </si>
  <si>
    <t>Department of Management Studies</t>
  </si>
  <si>
    <t>ATTAINMENT CRITERIA</t>
  </si>
  <si>
    <t>Very Good</t>
  </si>
  <si>
    <t>Threshold % for attainment</t>
  </si>
  <si>
    <t>Good</t>
  </si>
  <si>
    <t xml:space="preserve">Program </t>
  </si>
  <si>
    <t>BBA</t>
  </si>
  <si>
    <t>Sem.</t>
  </si>
  <si>
    <t>II</t>
  </si>
  <si>
    <t>Average</t>
  </si>
  <si>
    <t xml:space="preserve">Course Code </t>
  </si>
  <si>
    <t>23BBA12C01</t>
  </si>
  <si>
    <t>Course Name</t>
  </si>
  <si>
    <t>Financial Management</t>
  </si>
  <si>
    <t>Attainment for Mid Term Examination (Sessional)</t>
  </si>
  <si>
    <t>CIA</t>
  </si>
  <si>
    <t>Max marks</t>
  </si>
  <si>
    <t>Mid Term Examination</t>
  </si>
  <si>
    <t>CO1</t>
  </si>
  <si>
    <t>CO2</t>
  </si>
  <si>
    <t>CO3</t>
  </si>
  <si>
    <t>%</t>
  </si>
  <si>
    <t>Sr.No</t>
  </si>
  <si>
    <t>Reg No</t>
  </si>
  <si>
    <t>Name</t>
  </si>
  <si>
    <t>AAA</t>
  </si>
  <si>
    <t>A</t>
  </si>
  <si>
    <t>BBB</t>
  </si>
  <si>
    <t>CCC</t>
  </si>
  <si>
    <t>Attainment through Sessional Examination:</t>
  </si>
  <si>
    <t>ATTAINMENT TABLE</t>
  </si>
  <si>
    <t>ABSENTEE+NOT ATTEMPT</t>
  </si>
  <si>
    <t>Attainment through university examination:</t>
  </si>
  <si>
    <t>NA</t>
  </si>
  <si>
    <t>PRESENT STUDENT OR ATTEMPT</t>
  </si>
  <si>
    <t>Weightage given to the Internal examination (40%):</t>
  </si>
  <si>
    <t>NO. OF STUDENTS SECURE MARKS &gt; THRESHOLD MARKS</t>
  </si>
  <si>
    <t>Weightage given to the university examination (60%):</t>
  </si>
  <si>
    <t>% OF STUDENTS SECURE MARKS &gt; THRESHOLD MARKS</t>
  </si>
  <si>
    <t>Final attainment level of the course (by Direct Assessement):</t>
  </si>
  <si>
    <t>Attainment (3 ≥ 70%, 2 ≥60%, 1 ≥ 50%)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</si>
</sst>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charset val="134"/>
      <scheme val="minor"/>
    </font>
    <font>
      <sz val="11"/>
      <color theme="1"/>
      <name val="Trebuchet MS"/>
      <charset val="134"/>
    </font>
    <font>
      <b/>
      <sz val="12"/>
      <color theme="1"/>
      <name val="Trebuchet MS"/>
      <charset val="134"/>
    </font>
    <font>
      <sz val="10"/>
      <color theme="1"/>
      <name val="Trebuchet MS"/>
      <charset val="134"/>
    </font>
    <font>
      <b/>
      <sz val="10"/>
      <color theme="1"/>
      <name val="Trebuchet MS"/>
      <charset val="134"/>
    </font>
    <font>
      <b/>
      <sz val="11"/>
      <color theme="1"/>
      <name val="Trebuchet MS"/>
      <charset val="134"/>
    </font>
    <font>
      <b/>
      <sz val="9"/>
      <color theme="1"/>
      <name val="Trebuchet MS"/>
      <charset val="134"/>
    </font>
    <font>
      <sz val="9"/>
      <color theme="1"/>
      <name val="Trebuchet MS"/>
      <charset val="134"/>
    </font>
    <font>
      <sz val="8"/>
      <color theme="1"/>
      <name val="Trebuchet MS"/>
      <charset val="134"/>
    </font>
  </fonts>
  <fills count="8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EB4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3" fontId="4" fillId="2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2" fontId="6" fillId="4" borderId="1" xfId="0" applyNumberFormat="1" applyFont="1" applyFill="1" applyBorder="1" applyAlignment="1">
      <alignment horizontal="center" vertical="center" wrapText="1"/>
    </xf>
    <xf numFmtId="3" fontId="4" fillId="0" borderId="1" xfId="0" applyNumberFormat="1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4" fillId="7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7" fillId="3" borderId="15" xfId="0" applyFont="1" applyFill="1" applyBorder="1" applyAlignment="1">
      <alignment horizontal="center" vertical="center" wrapText="1"/>
    </xf>
    <xf numFmtId="0" fontId="7" fillId="3" borderId="16" xfId="0" applyFont="1" applyFill="1" applyBorder="1" applyAlignment="1">
      <alignment horizontal="center" vertical="center" wrapText="1"/>
    </xf>
    <xf numFmtId="2" fontId="7" fillId="3" borderId="17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9" fontId="4" fillId="7" borderId="1" xfId="0" applyNumberFormat="1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10" xfId="0" applyFont="1" applyFill="1" applyBorder="1" applyAlignment="1">
      <alignment horizontal="center" vertical="center" wrapText="1"/>
    </xf>
    <xf numFmtId="3" fontId="3" fillId="0" borderId="2" xfId="0" applyNumberFormat="1" applyFont="1" applyBorder="1" applyAlignment="1">
      <alignment horizontal="center" vertical="center" wrapText="1"/>
    </xf>
    <xf numFmtId="3" fontId="3" fillId="0" borderId="10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8" fillId="4" borderId="13" xfId="0" applyFont="1" applyFill="1" applyBorder="1" applyAlignment="1">
      <alignment horizontal="center" vertical="center" wrapText="1"/>
    </xf>
    <xf numFmtId="0" fontId="8" fillId="4" borderId="14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left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textRotation="90" wrapText="1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tabSelected="1" zoomScale="90" zoomScaleNormal="90" zoomScaleSheetLayoutView="90" workbookViewId="0">
      <selection activeCell="G14" sqref="G14"/>
    </sheetView>
  </sheetViews>
  <sheetFormatPr defaultColWidth="9.109375" defaultRowHeight="14.4"/>
  <cols>
    <col min="1" max="1" width="6.109375" style="1" customWidth="1"/>
    <col min="2" max="3" width="9.109375" style="1"/>
    <col min="4" max="4" width="9.109375" style="1" customWidth="1"/>
    <col min="5" max="5" width="10.33203125" style="1" customWidth="1"/>
    <col min="6" max="11" width="10.6640625" style="1" customWidth="1"/>
    <col min="12" max="16384" width="9.109375" style="1"/>
  </cols>
  <sheetData>
    <row r="1" spans="1:11" ht="16.2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</row>
    <row r="2" spans="1:11" ht="16.2">
      <c r="A2" s="19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1"/>
    </row>
    <row r="3" spans="1:11" ht="20.100000000000001" customHeight="1">
      <c r="A3" s="22" t="s">
        <v>2</v>
      </c>
      <c r="B3" s="22"/>
      <c r="C3" s="3">
        <v>70</v>
      </c>
      <c r="D3" s="2">
        <v>3</v>
      </c>
      <c r="E3" s="2" t="s">
        <v>3</v>
      </c>
      <c r="F3" s="22" t="s">
        <v>4</v>
      </c>
      <c r="G3" s="22"/>
      <c r="H3" s="22"/>
      <c r="I3" s="23">
        <v>0.5</v>
      </c>
      <c r="J3" s="24"/>
      <c r="K3" s="24"/>
    </row>
    <row r="4" spans="1:11" ht="20.100000000000001" customHeight="1">
      <c r="A4" s="22"/>
      <c r="B4" s="22"/>
      <c r="C4" s="3">
        <v>60</v>
      </c>
      <c r="D4" s="4">
        <v>2</v>
      </c>
      <c r="E4" s="4" t="s">
        <v>5</v>
      </c>
      <c r="F4" s="10" t="s">
        <v>6</v>
      </c>
      <c r="G4" s="25" t="s">
        <v>7</v>
      </c>
      <c r="H4" s="26"/>
      <c r="I4" s="12" t="s">
        <v>8</v>
      </c>
      <c r="J4" s="25" t="s">
        <v>9</v>
      </c>
      <c r="K4" s="26"/>
    </row>
    <row r="5" spans="1:11" ht="27.75" customHeight="1">
      <c r="A5" s="22"/>
      <c r="B5" s="22"/>
      <c r="C5" s="3">
        <v>50</v>
      </c>
      <c r="D5" s="2">
        <v>1</v>
      </c>
      <c r="E5" s="2" t="s">
        <v>10</v>
      </c>
      <c r="F5" s="10" t="s">
        <v>11</v>
      </c>
      <c r="G5" s="27" t="s">
        <v>12</v>
      </c>
      <c r="H5" s="28"/>
      <c r="I5" s="13" t="s">
        <v>13</v>
      </c>
      <c r="J5" s="29" t="s">
        <v>14</v>
      </c>
      <c r="K5" s="30"/>
    </row>
    <row r="6" spans="1:11" ht="20.100000000000001" customHeight="1">
      <c r="A6" s="31" t="s">
        <v>15</v>
      </c>
      <c r="B6" s="31"/>
      <c r="C6" s="31"/>
      <c r="D6" s="31"/>
      <c r="E6" s="31"/>
      <c r="F6" s="31"/>
      <c r="G6" s="31"/>
      <c r="H6" s="31"/>
      <c r="I6" s="31"/>
      <c r="J6" s="31"/>
      <c r="K6" s="31"/>
    </row>
    <row r="7" spans="1:11" ht="20.100000000000001" customHeight="1">
      <c r="A7" s="41" t="s">
        <v>16</v>
      </c>
      <c r="B7" s="42"/>
      <c r="C7" s="42"/>
      <c r="D7" s="43"/>
      <c r="E7" s="38" t="s">
        <v>17</v>
      </c>
      <c r="F7" s="31" t="s">
        <v>18</v>
      </c>
      <c r="G7" s="31"/>
      <c r="H7" s="31"/>
      <c r="I7" s="5" t="s">
        <v>19</v>
      </c>
      <c r="J7" s="5" t="s">
        <v>20</v>
      </c>
      <c r="K7" s="5" t="s">
        <v>21</v>
      </c>
    </row>
    <row r="8" spans="1:11" ht="30.75" customHeight="1">
      <c r="A8" s="44"/>
      <c r="B8" s="45"/>
      <c r="C8" s="45"/>
      <c r="D8" s="46"/>
      <c r="E8" s="39"/>
      <c r="F8" s="5" t="s">
        <v>19</v>
      </c>
      <c r="G8" s="5" t="s">
        <v>20</v>
      </c>
      <c r="H8" s="5" t="s">
        <v>21</v>
      </c>
      <c r="I8" s="5" t="s">
        <v>22</v>
      </c>
      <c r="J8" s="5" t="s">
        <v>22</v>
      </c>
      <c r="K8" s="5" t="s">
        <v>22</v>
      </c>
    </row>
    <row r="9" spans="1:11" ht="20.100000000000001" customHeight="1">
      <c r="A9" s="6" t="s">
        <v>23</v>
      </c>
      <c r="B9" s="6" t="s">
        <v>24</v>
      </c>
      <c r="C9" s="32" t="s">
        <v>25</v>
      </c>
      <c r="D9" s="32"/>
      <c r="E9" s="5">
        <v>15</v>
      </c>
      <c r="F9" s="5">
        <v>4.5</v>
      </c>
      <c r="G9" s="5">
        <v>4.5</v>
      </c>
      <c r="H9" s="5">
        <v>6</v>
      </c>
      <c r="I9" s="5">
        <v>100</v>
      </c>
      <c r="J9" s="5">
        <v>100</v>
      </c>
      <c r="K9" s="5">
        <v>100</v>
      </c>
    </row>
    <row r="10" spans="1:11" ht="20.100000000000001" customHeight="1">
      <c r="A10" s="6">
        <v>1</v>
      </c>
      <c r="B10" s="6" t="s">
        <v>26</v>
      </c>
      <c r="C10" s="32" t="s">
        <v>27</v>
      </c>
      <c r="D10" s="32"/>
      <c r="E10" s="6">
        <v>15</v>
      </c>
      <c r="F10" s="11">
        <f>E10*$F$9/$E$9</f>
        <v>4.5</v>
      </c>
      <c r="G10" s="11">
        <f>E10*$G$9/$E$9</f>
        <v>4.5</v>
      </c>
      <c r="H10" s="11">
        <f>E10*$H$9/$E$9</f>
        <v>6</v>
      </c>
      <c r="I10" s="11">
        <f>(F10*100)/$F$9</f>
        <v>100</v>
      </c>
      <c r="J10" s="11">
        <f>(G10*100)/$G$9</f>
        <v>100</v>
      </c>
      <c r="K10" s="11">
        <f>(H10*100)/$H$9</f>
        <v>100</v>
      </c>
    </row>
    <row r="11" spans="1:11" ht="20.100000000000001" customHeight="1">
      <c r="A11" s="6">
        <v>2</v>
      </c>
      <c r="B11" s="6" t="s">
        <v>28</v>
      </c>
      <c r="C11" s="32" t="s">
        <v>27</v>
      </c>
      <c r="D11" s="32"/>
      <c r="E11" s="6">
        <v>15</v>
      </c>
      <c r="F11" s="11">
        <v>3</v>
      </c>
      <c r="G11" s="11">
        <v>4</v>
      </c>
      <c r="H11" s="11">
        <f t="shared" ref="H11:H20" si="0">E11*$H$9/$E$9</f>
        <v>6</v>
      </c>
      <c r="I11" s="11">
        <f t="shared" ref="I11:I20" si="1">(F11*100)/$F$9</f>
        <v>66.666666666666671</v>
      </c>
      <c r="J11" s="11">
        <f t="shared" ref="J11:J20" si="2">(G11*100)/$G$9</f>
        <v>88.888888888888886</v>
      </c>
      <c r="K11" s="11">
        <f t="shared" ref="K11:K20" si="3">(H11*100)/$H$9</f>
        <v>100</v>
      </c>
    </row>
    <row r="12" spans="1:11" ht="20.100000000000001" customHeight="1">
      <c r="A12" s="6">
        <v>3</v>
      </c>
      <c r="B12" s="6" t="s">
        <v>29</v>
      </c>
      <c r="C12" s="32" t="s">
        <v>27</v>
      </c>
      <c r="D12" s="32"/>
      <c r="E12" s="6">
        <v>12</v>
      </c>
      <c r="F12" s="11">
        <f t="shared" ref="F12:F20" si="4">E12*$F$9/$E$9</f>
        <v>3.6</v>
      </c>
      <c r="G12" s="11">
        <f t="shared" ref="G12:G20" si="5">E12*$G$9/$E$9</f>
        <v>3.6</v>
      </c>
      <c r="H12" s="11">
        <f t="shared" si="0"/>
        <v>4.8</v>
      </c>
      <c r="I12" s="11">
        <f t="shared" si="1"/>
        <v>80</v>
      </c>
      <c r="J12" s="11">
        <f t="shared" si="2"/>
        <v>80</v>
      </c>
      <c r="K12" s="11">
        <f t="shared" si="3"/>
        <v>80</v>
      </c>
    </row>
    <row r="13" spans="1:11" ht="20.100000000000001" customHeight="1">
      <c r="A13" s="6">
        <v>4</v>
      </c>
      <c r="B13" s="6" t="s">
        <v>26</v>
      </c>
      <c r="C13" s="32" t="s">
        <v>27</v>
      </c>
      <c r="D13" s="32"/>
      <c r="E13" s="6">
        <v>15</v>
      </c>
      <c r="F13" s="11">
        <f t="shared" si="4"/>
        <v>4.5</v>
      </c>
      <c r="G13" s="11">
        <f t="shared" si="5"/>
        <v>4.5</v>
      </c>
      <c r="H13" s="11">
        <f t="shared" si="0"/>
        <v>6</v>
      </c>
      <c r="I13" s="11">
        <f t="shared" si="1"/>
        <v>100</v>
      </c>
      <c r="J13" s="11">
        <f t="shared" si="2"/>
        <v>100</v>
      </c>
      <c r="K13" s="11">
        <f t="shared" si="3"/>
        <v>100</v>
      </c>
    </row>
    <row r="14" spans="1:11" ht="20.100000000000001" customHeight="1">
      <c r="A14" s="6">
        <v>5</v>
      </c>
      <c r="B14" s="6" t="s">
        <v>28</v>
      </c>
      <c r="C14" s="32" t="s">
        <v>27</v>
      </c>
      <c r="D14" s="32"/>
      <c r="E14" s="6">
        <v>5</v>
      </c>
      <c r="F14" s="11">
        <f t="shared" si="4"/>
        <v>1.5</v>
      </c>
      <c r="G14" s="11">
        <f t="shared" si="5"/>
        <v>1.5</v>
      </c>
      <c r="H14" s="11">
        <f t="shared" si="0"/>
        <v>2</v>
      </c>
      <c r="I14" s="11">
        <f t="shared" si="1"/>
        <v>33.333333333333336</v>
      </c>
      <c r="J14" s="11">
        <f t="shared" si="2"/>
        <v>33.333333333333336</v>
      </c>
      <c r="K14" s="11">
        <f t="shared" si="3"/>
        <v>33.333333333333336</v>
      </c>
    </row>
    <row r="15" spans="1:11" ht="20.100000000000001" customHeight="1">
      <c r="A15" s="6">
        <v>6</v>
      </c>
      <c r="B15" s="6" t="s">
        <v>29</v>
      </c>
      <c r="C15" s="32" t="s">
        <v>27</v>
      </c>
      <c r="D15" s="32"/>
      <c r="E15" s="6">
        <v>12</v>
      </c>
      <c r="F15" s="11">
        <f t="shared" si="4"/>
        <v>3.6</v>
      </c>
      <c r="G15" s="11">
        <f t="shared" si="5"/>
        <v>3.6</v>
      </c>
      <c r="H15" s="11">
        <f t="shared" si="0"/>
        <v>4.8</v>
      </c>
      <c r="I15" s="11">
        <f t="shared" si="1"/>
        <v>80</v>
      </c>
      <c r="J15" s="11">
        <f t="shared" si="2"/>
        <v>80</v>
      </c>
      <c r="K15" s="11">
        <v>0</v>
      </c>
    </row>
    <row r="16" spans="1:11" ht="20.100000000000001" customHeight="1">
      <c r="A16" s="6">
        <v>7</v>
      </c>
      <c r="B16" s="6" t="s">
        <v>26</v>
      </c>
      <c r="C16" s="32" t="s">
        <v>27</v>
      </c>
      <c r="D16" s="32"/>
      <c r="E16" s="6">
        <v>2</v>
      </c>
      <c r="F16" s="11">
        <f t="shared" si="4"/>
        <v>0.6</v>
      </c>
      <c r="G16" s="11">
        <f t="shared" si="5"/>
        <v>0.6</v>
      </c>
      <c r="H16" s="11">
        <f t="shared" si="0"/>
        <v>0.8</v>
      </c>
      <c r="I16" s="11">
        <f t="shared" si="1"/>
        <v>13.333333333333334</v>
      </c>
      <c r="J16" s="11">
        <f t="shared" si="2"/>
        <v>13.333333333333334</v>
      </c>
      <c r="K16" s="11">
        <v>0</v>
      </c>
    </row>
    <row r="17" spans="1:11" ht="20.100000000000001" customHeight="1">
      <c r="A17" s="6">
        <v>8</v>
      </c>
      <c r="B17" s="6" t="s">
        <v>28</v>
      </c>
      <c r="C17" s="32" t="s">
        <v>27</v>
      </c>
      <c r="D17" s="32"/>
      <c r="E17" s="6">
        <v>10</v>
      </c>
      <c r="F17" s="11">
        <f t="shared" si="4"/>
        <v>3</v>
      </c>
      <c r="G17" s="11">
        <f t="shared" si="5"/>
        <v>3</v>
      </c>
      <c r="H17" s="11">
        <f t="shared" si="0"/>
        <v>4</v>
      </c>
      <c r="I17" s="11">
        <f t="shared" si="1"/>
        <v>66.666666666666671</v>
      </c>
      <c r="J17" s="11">
        <f t="shared" si="2"/>
        <v>66.666666666666671</v>
      </c>
      <c r="K17" s="11">
        <f t="shared" si="3"/>
        <v>66.666666666666671</v>
      </c>
    </row>
    <row r="18" spans="1:11" ht="20.100000000000001" customHeight="1">
      <c r="A18" s="6">
        <v>9</v>
      </c>
      <c r="B18" s="6" t="s">
        <v>29</v>
      </c>
      <c r="C18" s="32" t="s">
        <v>27</v>
      </c>
      <c r="D18" s="32"/>
      <c r="E18" s="6">
        <v>12</v>
      </c>
      <c r="F18" s="11">
        <f t="shared" si="4"/>
        <v>3.6</v>
      </c>
      <c r="G18" s="11">
        <f t="shared" si="5"/>
        <v>3.6</v>
      </c>
      <c r="H18" s="11">
        <f t="shared" si="0"/>
        <v>4.8</v>
      </c>
      <c r="I18" s="11">
        <f t="shared" si="1"/>
        <v>80</v>
      </c>
      <c r="J18" s="11">
        <f t="shared" si="2"/>
        <v>80</v>
      </c>
      <c r="K18" s="11">
        <f t="shared" si="3"/>
        <v>80</v>
      </c>
    </row>
    <row r="19" spans="1:11" ht="20.100000000000001" customHeight="1">
      <c r="A19" s="6">
        <v>10</v>
      </c>
      <c r="B19" s="6" t="s">
        <v>26</v>
      </c>
      <c r="C19" s="32" t="s">
        <v>27</v>
      </c>
      <c r="D19" s="32"/>
      <c r="E19" s="6">
        <v>6</v>
      </c>
      <c r="F19" s="11">
        <f t="shared" si="4"/>
        <v>1.8</v>
      </c>
      <c r="G19" s="11">
        <f t="shared" si="5"/>
        <v>1.8</v>
      </c>
      <c r="H19" s="11">
        <f t="shared" si="0"/>
        <v>2.4</v>
      </c>
      <c r="I19" s="11">
        <f t="shared" si="1"/>
        <v>40</v>
      </c>
      <c r="J19" s="11">
        <f t="shared" si="2"/>
        <v>40</v>
      </c>
      <c r="K19" s="11">
        <f t="shared" si="3"/>
        <v>40</v>
      </c>
    </row>
    <row r="20" spans="1:11" ht="20.100000000000001" customHeight="1">
      <c r="A20" s="7">
        <v>11</v>
      </c>
      <c r="B20" s="7" t="s">
        <v>29</v>
      </c>
      <c r="C20" s="32" t="s">
        <v>27</v>
      </c>
      <c r="D20" s="32"/>
      <c r="E20" s="6">
        <v>11</v>
      </c>
      <c r="F20" s="11">
        <f t="shared" si="4"/>
        <v>3.3</v>
      </c>
      <c r="G20" s="11">
        <f t="shared" si="5"/>
        <v>3.3</v>
      </c>
      <c r="H20" s="11">
        <f t="shared" si="0"/>
        <v>4.4000000000000004</v>
      </c>
      <c r="I20" s="11">
        <f t="shared" si="1"/>
        <v>73.333333333333329</v>
      </c>
      <c r="J20" s="11">
        <f t="shared" si="2"/>
        <v>73.333333333333329</v>
      </c>
      <c r="K20" s="11">
        <f t="shared" si="3"/>
        <v>73.333333333333343</v>
      </c>
    </row>
    <row r="21" spans="1:11" ht="24.9" customHeight="1">
      <c r="A21" s="33" t="s">
        <v>30</v>
      </c>
      <c r="B21" s="33"/>
      <c r="C21" s="33"/>
      <c r="D21" s="9">
        <f>(I25+J25+K25)/3</f>
        <v>2.6666666666666665</v>
      </c>
      <c r="E21" s="9"/>
      <c r="F21" s="40" t="s">
        <v>31</v>
      </c>
      <c r="G21" s="34" t="s">
        <v>32</v>
      </c>
      <c r="H21" s="34"/>
      <c r="I21" s="14">
        <f>COUNTIF(I10:I20,"AB")</f>
        <v>0</v>
      </c>
      <c r="J21" s="14">
        <f t="shared" ref="J21:K21" si="6">COUNTIF(J10:J20,"AB")</f>
        <v>0</v>
      </c>
      <c r="K21" s="14">
        <f t="shared" si="6"/>
        <v>0</v>
      </c>
    </row>
    <row r="22" spans="1:11" ht="24.9" customHeight="1">
      <c r="A22" s="33" t="s">
        <v>33</v>
      </c>
      <c r="B22" s="33"/>
      <c r="C22" s="33"/>
      <c r="D22" s="8" t="s">
        <v>34</v>
      </c>
      <c r="E22" s="8"/>
      <c r="F22" s="40"/>
      <c r="G22" s="35" t="s">
        <v>35</v>
      </c>
      <c r="H22" s="35"/>
      <c r="I22" s="15">
        <v>11</v>
      </c>
      <c r="J22" s="15">
        <v>11</v>
      </c>
      <c r="K22" s="15">
        <v>11</v>
      </c>
    </row>
    <row r="23" spans="1:11" ht="24.9" customHeight="1">
      <c r="A23" s="36" t="s">
        <v>36</v>
      </c>
      <c r="B23" s="36"/>
      <c r="C23" s="36"/>
      <c r="D23" s="9" t="s">
        <v>34</v>
      </c>
      <c r="E23" s="9"/>
      <c r="F23" s="40"/>
      <c r="G23" s="35" t="s">
        <v>37</v>
      </c>
      <c r="H23" s="35"/>
      <c r="I23" s="15">
        <f>COUNTIF(I10:I20,"&gt;50")</f>
        <v>8</v>
      </c>
      <c r="J23" s="15">
        <f t="shared" ref="J23:K23" si="7">COUNTIF(J10:J20,"&gt;50")</f>
        <v>8</v>
      </c>
      <c r="K23" s="15">
        <f t="shared" si="7"/>
        <v>7</v>
      </c>
    </row>
    <row r="24" spans="1:11" ht="24.9" customHeight="1">
      <c r="A24" s="36" t="s">
        <v>38</v>
      </c>
      <c r="B24" s="36"/>
      <c r="C24" s="36"/>
      <c r="D24" s="9" t="s">
        <v>34</v>
      </c>
      <c r="E24" s="9"/>
      <c r="F24" s="40"/>
      <c r="G24" s="35" t="s">
        <v>39</v>
      </c>
      <c r="H24" s="35"/>
      <c r="I24" s="16">
        <f t="shared" ref="I24:K24" si="8">(I23*100)/11</f>
        <v>72.727272727272734</v>
      </c>
      <c r="J24" s="16">
        <f t="shared" si="8"/>
        <v>72.727272727272734</v>
      </c>
      <c r="K24" s="16">
        <f t="shared" si="8"/>
        <v>63.636363636363633</v>
      </c>
    </row>
    <row r="25" spans="1:11" ht="39.75" customHeight="1">
      <c r="A25" s="37" t="s">
        <v>40</v>
      </c>
      <c r="B25" s="37"/>
      <c r="C25" s="37"/>
      <c r="D25" s="9" t="s">
        <v>34</v>
      </c>
      <c r="E25" s="9"/>
      <c r="F25" s="40"/>
      <c r="G25" s="35" t="s">
        <v>41</v>
      </c>
      <c r="H25" s="35"/>
      <c r="I25" s="17">
        <f t="shared" ref="I25:K25" si="9">IF(I24&gt;70,3,IF(I24&gt;60,2,IF(I24&gt;50,1,0)))</f>
        <v>3</v>
      </c>
      <c r="J25" s="17">
        <f t="shared" si="9"/>
        <v>3</v>
      </c>
      <c r="K25" s="17">
        <f t="shared" si="9"/>
        <v>2</v>
      </c>
    </row>
  </sheetData>
  <protectedRanges>
    <protectedRange sqref="C3:C5" name="Range1"/>
  </protectedRanges>
  <mergeCells count="36">
    <mergeCell ref="A23:C23"/>
    <mergeCell ref="G23:H23"/>
    <mergeCell ref="A24:C24"/>
    <mergeCell ref="G24:H24"/>
    <mergeCell ref="A25:C25"/>
    <mergeCell ref="G25:H25"/>
    <mergeCell ref="F21:F25"/>
    <mergeCell ref="C20:D20"/>
    <mergeCell ref="A21:C21"/>
    <mergeCell ref="G21:H21"/>
    <mergeCell ref="A22:C22"/>
    <mergeCell ref="G22:H22"/>
    <mergeCell ref="C15:D15"/>
    <mergeCell ref="C16:D16"/>
    <mergeCell ref="C17:D17"/>
    <mergeCell ref="C18:D18"/>
    <mergeCell ref="C19:D19"/>
    <mergeCell ref="C10:D10"/>
    <mergeCell ref="C11:D11"/>
    <mergeCell ref="C12:D12"/>
    <mergeCell ref="C13:D13"/>
    <mergeCell ref="C14:D14"/>
    <mergeCell ref="G5:H5"/>
    <mergeCell ref="J5:K5"/>
    <mergeCell ref="A6:K6"/>
    <mergeCell ref="F7:H7"/>
    <mergeCell ref="C9:D9"/>
    <mergeCell ref="E7:E8"/>
    <mergeCell ref="A7:D8"/>
    <mergeCell ref="A3:B5"/>
    <mergeCell ref="A1:K1"/>
    <mergeCell ref="A2:K2"/>
    <mergeCell ref="F3:H3"/>
    <mergeCell ref="I3:K3"/>
    <mergeCell ref="G4:H4"/>
    <mergeCell ref="J4:K4"/>
  </mergeCells>
  <pageMargins left="0.7" right="0.7" top="0.75" bottom="0.75" header="0.3" footer="0.3"/>
  <pageSetup paperSize="9" scale="80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First Method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siddharth singh bhandari</cp:lastModifiedBy>
  <dcterms:created xsi:type="dcterms:W3CDTF">2006-09-16T05:30:00Z</dcterms:created>
  <dcterms:modified xsi:type="dcterms:W3CDTF">2026-03-22T11:57:02Z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