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First Method" sheetId="1" r:id="rId1"/>
  </sheets>
  <calcPr calcId="144525"/>
</workbook>
</file>

<file path=xl/sharedStrings.xml><?xml version="1.0" encoding="utf-8"?>
<sst xmlns="http://schemas.openxmlformats.org/spreadsheetml/2006/main" count="68" uniqueCount="42">
  <si>
    <t>CT UNIVERSITY</t>
  </si>
  <si>
    <t>Department of Management Studies</t>
  </si>
  <si>
    <t>ATTAINMENT CRITERIA</t>
  </si>
  <si>
    <t>Very Good</t>
  </si>
  <si>
    <t>Threshold % for attainment</t>
  </si>
  <si>
    <t>Good</t>
  </si>
  <si>
    <t xml:space="preserve">Program </t>
  </si>
  <si>
    <t>BBA</t>
  </si>
  <si>
    <t>Sem.</t>
  </si>
  <si>
    <t>II</t>
  </si>
  <si>
    <t>Average</t>
  </si>
  <si>
    <t xml:space="preserve">Course Code </t>
  </si>
  <si>
    <t>23BBA12C01</t>
  </si>
  <si>
    <t>Course Name</t>
  </si>
  <si>
    <t>Financial Management</t>
  </si>
  <si>
    <t>Attainment for Mid Term Examination (Sessional)</t>
  </si>
  <si>
    <t>CIA</t>
  </si>
  <si>
    <t>Max marks</t>
  </si>
  <si>
    <t>Mid Term Examination</t>
  </si>
  <si>
    <t>CO1</t>
  </si>
  <si>
    <t>CO2</t>
  </si>
  <si>
    <t>CO3</t>
  </si>
  <si>
    <t>%</t>
  </si>
  <si>
    <t>Sr.No</t>
  </si>
  <si>
    <t>Reg No</t>
  </si>
  <si>
    <t>Name</t>
  </si>
  <si>
    <t>AAA</t>
  </si>
  <si>
    <t>A</t>
  </si>
  <si>
    <t>BBB</t>
  </si>
  <si>
    <t>CCC</t>
  </si>
  <si>
    <t>Attainment through Sessional Examination:</t>
  </si>
  <si>
    <t>ATTAINMENT TABLE</t>
  </si>
  <si>
    <t>ABSENTEE+NOT ATTEMPT</t>
  </si>
  <si>
    <t>Attainment through university examination:</t>
  </si>
  <si>
    <t>NA</t>
  </si>
  <si>
    <t>PRESENT STUDENT OR ATTEMPT</t>
  </si>
  <si>
    <t>Weightage given to the Internal examination (40%):</t>
  </si>
  <si>
    <t>NO. OF STUDENTS SECURE MARKS &gt; THRESHOLD MARKS</t>
  </si>
  <si>
    <t>Weightage given to the university examination (60%):</t>
  </si>
  <si>
    <t>% OF STUDENTS SECURE MARKS &gt; THRESHOLD MARKS</t>
  </si>
  <si>
    <t>Final attainment level of the course (by Direct Assessement):</t>
  </si>
  <si>
    <t>Attainment (3 ≥ 70%, 2 ≥60%, 1 ≥ 50%)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</si>
</sst>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_ ;_ * \-#,##0_ ;_ * &quot;-&quot;_ ;_ @_ "/>
    <numFmt numFmtId="179" formatCode="_ * #,##0.00_ ;_ * \-#,##0.00_ ;_ * &quot;-&quot;??_ ;_ @_ "/>
  </numFmts>
  <fonts count="29">
    <font>
      <sz val="11"/>
      <color theme="1"/>
      <name val="Calibri"/>
      <charset val="134"/>
      <scheme val="minor"/>
    </font>
    <font>
      <sz val="11"/>
      <color theme="1"/>
      <name val="Trebuchet MS"/>
      <charset val="134"/>
    </font>
    <font>
      <b/>
      <sz val="12"/>
      <color theme="1"/>
      <name val="Trebuchet MS"/>
      <charset val="134"/>
    </font>
    <font>
      <sz val="10"/>
      <color theme="1"/>
      <name val="Trebuchet MS"/>
      <charset val="134"/>
    </font>
    <font>
      <b/>
      <sz val="10"/>
      <color theme="1"/>
      <name val="Trebuchet MS"/>
      <charset val="134"/>
    </font>
    <font>
      <b/>
      <sz val="11"/>
      <color theme="1"/>
      <name val="Trebuchet MS"/>
      <charset val="134"/>
    </font>
    <font>
      <b/>
      <sz val="9"/>
      <color theme="1"/>
      <name val="Trebuchet MS"/>
      <charset val="134"/>
    </font>
    <font>
      <sz val="9"/>
      <color theme="1"/>
      <name val="Trebuchet MS"/>
      <charset val="134"/>
    </font>
    <font>
      <sz val="8"/>
      <color theme="1"/>
      <name val="Trebuchet MS"/>
      <charset val="134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EB4B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2" fillId="3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13" fillId="11" borderId="19" applyNumberFormat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16" borderId="22" applyNumberFormat="0" applyFont="0" applyAlignment="0" applyProtection="0">
      <alignment vertical="center"/>
    </xf>
    <xf numFmtId="0" fontId="28" fillId="32" borderId="21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11" borderId="21" applyNumberForma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8" borderId="18" applyNumberFormat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 wrapText="1"/>
    </xf>
    <xf numFmtId="2" fontId="6" fillId="4" borderId="1" xfId="0" applyNumberFormat="1" applyFont="1" applyFill="1" applyBorder="1" applyAlignment="1" applyProtection="1">
      <alignment horizontal="center" vertical="center" wrapText="1"/>
    </xf>
    <xf numFmtId="0" fontId="7" fillId="5" borderId="1" xfId="0" applyFont="1" applyFill="1" applyBorder="1" applyAlignment="1" applyProtection="1">
      <alignment horizontal="center" vertical="center" wrapText="1"/>
    </xf>
    <xf numFmtId="0" fontId="7" fillId="6" borderId="1" xfId="0" applyFont="1" applyFill="1" applyBorder="1" applyAlignment="1" applyProtection="1">
      <alignment horizontal="left" vertical="center" wrapText="1"/>
    </xf>
    <xf numFmtId="3" fontId="4" fillId="0" borderId="1" xfId="0" applyNumberFormat="1" applyFont="1" applyBorder="1" applyAlignment="1" applyProtection="1">
      <alignment horizontal="center" vertical="center" wrapText="1"/>
    </xf>
    <xf numFmtId="0" fontId="4" fillId="7" borderId="2" xfId="0" applyFont="1" applyFill="1" applyBorder="1" applyAlignment="1" applyProtection="1">
      <alignment horizontal="center" vertical="center" wrapText="1"/>
    </xf>
    <xf numFmtId="0" fontId="4" fillId="7" borderId="10" xfId="0" applyFont="1" applyFill="1" applyBorder="1" applyAlignment="1" applyProtection="1">
      <alignment horizontal="center" vertical="center" wrapText="1"/>
    </xf>
    <xf numFmtId="3" fontId="3" fillId="0" borderId="2" xfId="0" applyNumberFormat="1" applyFont="1" applyBorder="1" applyAlignment="1" applyProtection="1">
      <alignment horizontal="center" vertical="center" wrapText="1"/>
    </xf>
    <xf numFmtId="3" fontId="3" fillId="0" borderId="10" xfId="0" applyNumberFormat="1" applyFont="1" applyBorder="1" applyAlignment="1" applyProtection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center" vertical="center" textRotation="90" wrapText="1"/>
    </xf>
    <xf numFmtId="0" fontId="8" fillId="4" borderId="13" xfId="0" applyFont="1" applyFill="1" applyBorder="1" applyAlignment="1" applyProtection="1">
      <alignment horizontal="center" vertical="center" wrapText="1"/>
    </xf>
    <xf numFmtId="0" fontId="8" fillId="4" borderId="14" xfId="0" applyFont="1" applyFill="1" applyBorder="1" applyAlignment="1" applyProtection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9" fontId="4" fillId="7" borderId="1" xfId="0" applyNumberFormat="1" applyFont="1" applyFill="1" applyBorder="1" applyAlignment="1" applyProtection="1">
      <alignment horizontal="center" vertical="center" wrapText="1"/>
    </xf>
    <xf numFmtId="0" fontId="4" fillId="7" borderId="1" xfId="0" applyFont="1" applyFill="1" applyBorder="1" applyAlignment="1" applyProtection="1">
      <alignment horizontal="center" vertical="center" wrapText="1"/>
    </xf>
    <xf numFmtId="0" fontId="4" fillId="7" borderId="1" xfId="0" applyFont="1" applyFill="1" applyBorder="1" applyAlignment="1" applyProtection="1">
      <alignment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 wrapText="1"/>
    </xf>
    <xf numFmtId="0" fontId="4" fillId="0" borderId="10" xfId="0" applyFont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  <xf numFmtId="0" fontId="7" fillId="3" borderId="16" xfId="0" applyFont="1" applyFill="1" applyBorder="1" applyAlignment="1" applyProtection="1">
      <alignment horizontal="center" vertical="center" wrapText="1"/>
    </xf>
    <xf numFmtId="2" fontId="7" fillId="3" borderId="17" xfId="0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view="pageBreakPreview" zoomScale="110" zoomScaleNormal="90" workbookViewId="0">
      <selection activeCell="A7" sqref="A7:D8"/>
    </sheetView>
  </sheetViews>
  <sheetFormatPr defaultColWidth="9" defaultRowHeight="15"/>
  <cols>
    <col min="1" max="1" width="6.14" style="1" customWidth="1"/>
    <col min="2" max="3" width="9.14" style="1"/>
    <col min="4" max="4" width="9.14" style="1" customWidth="1"/>
    <col min="5" max="5" width="10.2866666666667" style="1" customWidth="1"/>
    <col min="6" max="11" width="10.7133333333333" style="1" customWidth="1"/>
    <col min="12" max="16384" width="9.14" style="1"/>
  </cols>
  <sheetData>
    <row r="1" ht="16.5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6.5" spans="1:1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32"/>
    </row>
    <row r="3" ht="20.1" customHeight="1" spans="1:11">
      <c r="A3" s="5" t="s">
        <v>2</v>
      </c>
      <c r="B3" s="5"/>
      <c r="C3" s="6">
        <v>70</v>
      </c>
      <c r="D3" s="5">
        <v>3</v>
      </c>
      <c r="E3" s="5" t="s">
        <v>3</v>
      </c>
      <c r="F3" s="5" t="s">
        <v>4</v>
      </c>
      <c r="G3" s="5"/>
      <c r="H3" s="5"/>
      <c r="I3" s="33">
        <v>0.5</v>
      </c>
      <c r="J3" s="34"/>
      <c r="K3" s="34"/>
    </row>
    <row r="4" ht="20.1" customHeight="1" spans="1:11">
      <c r="A4" s="5"/>
      <c r="B4" s="5"/>
      <c r="C4" s="6">
        <v>60</v>
      </c>
      <c r="D4" s="7">
        <v>2</v>
      </c>
      <c r="E4" s="7" t="s">
        <v>5</v>
      </c>
      <c r="F4" s="21" t="s">
        <v>6</v>
      </c>
      <c r="G4" s="22" t="s">
        <v>7</v>
      </c>
      <c r="H4" s="23"/>
      <c r="I4" s="35" t="s">
        <v>8</v>
      </c>
      <c r="J4" s="22" t="s">
        <v>9</v>
      </c>
      <c r="K4" s="23"/>
    </row>
    <row r="5" ht="27.75" customHeight="1" spans="1:11">
      <c r="A5" s="5"/>
      <c r="B5" s="5"/>
      <c r="C5" s="6">
        <v>50</v>
      </c>
      <c r="D5" s="5">
        <v>1</v>
      </c>
      <c r="E5" s="5" t="s">
        <v>10</v>
      </c>
      <c r="F5" s="21" t="s">
        <v>11</v>
      </c>
      <c r="G5" s="24" t="s">
        <v>12</v>
      </c>
      <c r="H5" s="25"/>
      <c r="I5" s="36" t="s">
        <v>13</v>
      </c>
      <c r="J5" s="37" t="s">
        <v>14</v>
      </c>
      <c r="K5" s="38"/>
    </row>
    <row r="6" ht="20.1" customHeight="1" spans="1:11">
      <c r="A6" s="8" t="s">
        <v>15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ht="20.1" customHeight="1" spans="1:11">
      <c r="A7" s="9" t="s">
        <v>16</v>
      </c>
      <c r="B7" s="10"/>
      <c r="C7" s="10"/>
      <c r="D7" s="11"/>
      <c r="E7" s="26" t="s">
        <v>17</v>
      </c>
      <c r="F7" s="8" t="s">
        <v>18</v>
      </c>
      <c r="G7" s="8"/>
      <c r="H7" s="8"/>
      <c r="I7" s="8" t="s">
        <v>19</v>
      </c>
      <c r="J7" s="8" t="s">
        <v>20</v>
      </c>
      <c r="K7" s="8" t="s">
        <v>21</v>
      </c>
    </row>
    <row r="8" ht="30.75" customHeight="1" spans="1:11">
      <c r="A8" s="12"/>
      <c r="B8" s="13"/>
      <c r="C8" s="13"/>
      <c r="D8" s="14"/>
      <c r="E8" s="27"/>
      <c r="F8" s="8" t="s">
        <v>19</v>
      </c>
      <c r="G8" s="8" t="s">
        <v>20</v>
      </c>
      <c r="H8" s="8" t="s">
        <v>21</v>
      </c>
      <c r="I8" s="8" t="s">
        <v>22</v>
      </c>
      <c r="J8" s="8" t="s">
        <v>22</v>
      </c>
      <c r="K8" s="8" t="s">
        <v>22</v>
      </c>
    </row>
    <row r="9" ht="20.1" customHeight="1" spans="1:11">
      <c r="A9" s="15" t="s">
        <v>23</v>
      </c>
      <c r="B9" s="15" t="s">
        <v>24</v>
      </c>
      <c r="C9" s="15" t="s">
        <v>25</v>
      </c>
      <c r="D9" s="15"/>
      <c r="E9" s="8">
        <v>15</v>
      </c>
      <c r="F9" s="8">
        <v>4.5</v>
      </c>
      <c r="G9" s="8">
        <v>4.5</v>
      </c>
      <c r="H9" s="8">
        <v>6</v>
      </c>
      <c r="I9" s="8">
        <v>100</v>
      </c>
      <c r="J9" s="8">
        <v>100</v>
      </c>
      <c r="K9" s="8">
        <v>100</v>
      </c>
    </row>
    <row r="10" ht="20.1" customHeight="1" spans="1:11">
      <c r="A10" s="15">
        <v>1</v>
      </c>
      <c r="B10" s="15" t="s">
        <v>26</v>
      </c>
      <c r="C10" s="15" t="s">
        <v>27</v>
      </c>
      <c r="D10" s="15"/>
      <c r="E10" s="15">
        <v>15</v>
      </c>
      <c r="F10" s="28">
        <f>E10*$F$9/$E$9</f>
        <v>4.5</v>
      </c>
      <c r="G10" s="28">
        <f>E10*$G$9/$E$9</f>
        <v>4.5</v>
      </c>
      <c r="H10" s="28">
        <f>E10*$H$9/$E$9</f>
        <v>6</v>
      </c>
      <c r="I10" s="28">
        <f>(F10*100)/$F$9</f>
        <v>100</v>
      </c>
      <c r="J10" s="28">
        <f>(G10*100)/$G$9</f>
        <v>100</v>
      </c>
      <c r="K10" s="28">
        <f>(H10*100)/$H$9</f>
        <v>100</v>
      </c>
    </row>
    <row r="11" ht="20.1" customHeight="1" spans="1:11">
      <c r="A11" s="15">
        <v>2</v>
      </c>
      <c r="B11" s="15" t="s">
        <v>28</v>
      </c>
      <c r="C11" s="15" t="s">
        <v>27</v>
      </c>
      <c r="D11" s="15"/>
      <c r="E11" s="15">
        <v>15</v>
      </c>
      <c r="F11" s="28">
        <v>3</v>
      </c>
      <c r="G11" s="28">
        <v>4</v>
      </c>
      <c r="H11" s="28">
        <f t="shared" ref="H11:H20" si="0">E11*$H$9/$E$9</f>
        <v>6</v>
      </c>
      <c r="I11" s="28">
        <f t="shared" ref="I11:I20" si="1">(F11*100)/$F$9</f>
        <v>66.6666666666667</v>
      </c>
      <c r="J11" s="28">
        <f t="shared" ref="J11:J20" si="2">(G11*100)/$G$9</f>
        <v>88.8888888888889</v>
      </c>
      <c r="K11" s="28">
        <f t="shared" ref="K11:K20" si="3">(H11*100)/$H$9</f>
        <v>100</v>
      </c>
    </row>
    <row r="12" ht="20.1" customHeight="1" spans="1:11">
      <c r="A12" s="15">
        <v>3</v>
      </c>
      <c r="B12" s="15" t="s">
        <v>29</v>
      </c>
      <c r="C12" s="15" t="s">
        <v>27</v>
      </c>
      <c r="D12" s="15"/>
      <c r="E12" s="15">
        <v>12</v>
      </c>
      <c r="F12" s="28">
        <f t="shared" ref="F12:F20" si="4">E12*$F$9/$E$9</f>
        <v>3.6</v>
      </c>
      <c r="G12" s="28">
        <f t="shared" ref="G12:G20" si="5">E12*$G$9/$E$9</f>
        <v>3.6</v>
      </c>
      <c r="H12" s="28">
        <f t="shared" si="0"/>
        <v>4.8</v>
      </c>
      <c r="I12" s="28">
        <f t="shared" si="1"/>
        <v>80</v>
      </c>
      <c r="J12" s="28">
        <f t="shared" si="2"/>
        <v>80</v>
      </c>
      <c r="K12" s="28">
        <f t="shared" si="3"/>
        <v>80</v>
      </c>
    </row>
    <row r="13" ht="20.1" customHeight="1" spans="1:11">
      <c r="A13" s="15">
        <v>4</v>
      </c>
      <c r="B13" s="15" t="s">
        <v>26</v>
      </c>
      <c r="C13" s="15" t="s">
        <v>27</v>
      </c>
      <c r="D13" s="15"/>
      <c r="E13" s="15">
        <v>15</v>
      </c>
      <c r="F13" s="28">
        <f t="shared" si="4"/>
        <v>4.5</v>
      </c>
      <c r="G13" s="28">
        <f t="shared" si="5"/>
        <v>4.5</v>
      </c>
      <c r="H13" s="28">
        <f t="shared" si="0"/>
        <v>6</v>
      </c>
      <c r="I13" s="28">
        <f t="shared" si="1"/>
        <v>100</v>
      </c>
      <c r="J13" s="28">
        <f t="shared" si="2"/>
        <v>100</v>
      </c>
      <c r="K13" s="28">
        <f t="shared" si="3"/>
        <v>100</v>
      </c>
    </row>
    <row r="14" ht="20.1" customHeight="1" spans="1:11">
      <c r="A14" s="15">
        <v>5</v>
      </c>
      <c r="B14" s="15" t="s">
        <v>28</v>
      </c>
      <c r="C14" s="15" t="s">
        <v>27</v>
      </c>
      <c r="D14" s="15"/>
      <c r="E14" s="15">
        <v>5</v>
      </c>
      <c r="F14" s="28">
        <f t="shared" si="4"/>
        <v>1.5</v>
      </c>
      <c r="G14" s="28">
        <f t="shared" si="5"/>
        <v>1.5</v>
      </c>
      <c r="H14" s="28">
        <f t="shared" si="0"/>
        <v>2</v>
      </c>
      <c r="I14" s="28">
        <f t="shared" si="1"/>
        <v>33.3333333333333</v>
      </c>
      <c r="J14" s="28">
        <f t="shared" si="2"/>
        <v>33.3333333333333</v>
      </c>
      <c r="K14" s="28">
        <f t="shared" si="3"/>
        <v>33.3333333333333</v>
      </c>
    </row>
    <row r="15" ht="20.1" customHeight="1" spans="1:11">
      <c r="A15" s="15">
        <v>6</v>
      </c>
      <c r="B15" s="15" t="s">
        <v>29</v>
      </c>
      <c r="C15" s="15" t="s">
        <v>27</v>
      </c>
      <c r="D15" s="15"/>
      <c r="E15" s="15">
        <v>12</v>
      </c>
      <c r="F15" s="28">
        <f t="shared" si="4"/>
        <v>3.6</v>
      </c>
      <c r="G15" s="28">
        <f t="shared" si="5"/>
        <v>3.6</v>
      </c>
      <c r="H15" s="28">
        <f t="shared" si="0"/>
        <v>4.8</v>
      </c>
      <c r="I15" s="28">
        <f t="shared" si="1"/>
        <v>80</v>
      </c>
      <c r="J15" s="28">
        <f t="shared" si="2"/>
        <v>80</v>
      </c>
      <c r="K15" s="28">
        <v>0</v>
      </c>
    </row>
    <row r="16" ht="20.1" customHeight="1" spans="1:11">
      <c r="A16" s="15">
        <v>7</v>
      </c>
      <c r="B16" s="15" t="s">
        <v>26</v>
      </c>
      <c r="C16" s="15" t="s">
        <v>27</v>
      </c>
      <c r="D16" s="15"/>
      <c r="E16" s="15">
        <v>2</v>
      </c>
      <c r="F16" s="28">
        <f t="shared" si="4"/>
        <v>0.6</v>
      </c>
      <c r="G16" s="28">
        <f t="shared" si="5"/>
        <v>0.6</v>
      </c>
      <c r="H16" s="28">
        <f t="shared" si="0"/>
        <v>0.8</v>
      </c>
      <c r="I16" s="28">
        <f t="shared" si="1"/>
        <v>13.3333333333333</v>
      </c>
      <c r="J16" s="28">
        <f t="shared" si="2"/>
        <v>13.3333333333333</v>
      </c>
      <c r="K16" s="28">
        <v>0</v>
      </c>
    </row>
    <row r="17" ht="20.1" customHeight="1" spans="1:11">
      <c r="A17" s="15">
        <v>8</v>
      </c>
      <c r="B17" s="15" t="s">
        <v>28</v>
      </c>
      <c r="C17" s="15" t="s">
        <v>27</v>
      </c>
      <c r="D17" s="15"/>
      <c r="E17" s="15">
        <v>10</v>
      </c>
      <c r="F17" s="28">
        <f t="shared" si="4"/>
        <v>3</v>
      </c>
      <c r="G17" s="28">
        <f t="shared" si="5"/>
        <v>3</v>
      </c>
      <c r="H17" s="28">
        <f t="shared" si="0"/>
        <v>4</v>
      </c>
      <c r="I17" s="28">
        <f t="shared" si="1"/>
        <v>66.6666666666667</v>
      </c>
      <c r="J17" s="28">
        <f t="shared" si="2"/>
        <v>66.6666666666667</v>
      </c>
      <c r="K17" s="28">
        <f t="shared" si="3"/>
        <v>66.6666666666667</v>
      </c>
    </row>
    <row r="18" ht="20.1" customHeight="1" spans="1:11">
      <c r="A18" s="15">
        <v>9</v>
      </c>
      <c r="B18" s="15" t="s">
        <v>29</v>
      </c>
      <c r="C18" s="15" t="s">
        <v>27</v>
      </c>
      <c r="D18" s="15"/>
      <c r="E18" s="15">
        <v>12</v>
      </c>
      <c r="F18" s="28">
        <f t="shared" si="4"/>
        <v>3.6</v>
      </c>
      <c r="G18" s="28">
        <f t="shared" si="5"/>
        <v>3.6</v>
      </c>
      <c r="H18" s="28">
        <f t="shared" si="0"/>
        <v>4.8</v>
      </c>
      <c r="I18" s="28">
        <f t="shared" si="1"/>
        <v>80</v>
      </c>
      <c r="J18" s="28">
        <f t="shared" si="2"/>
        <v>80</v>
      </c>
      <c r="K18" s="28">
        <f t="shared" si="3"/>
        <v>80</v>
      </c>
    </row>
    <row r="19" ht="20.1" customHeight="1" spans="1:11">
      <c r="A19" s="15">
        <v>10</v>
      </c>
      <c r="B19" s="15" t="s">
        <v>26</v>
      </c>
      <c r="C19" s="15" t="s">
        <v>27</v>
      </c>
      <c r="D19" s="15"/>
      <c r="E19" s="15">
        <v>6</v>
      </c>
      <c r="F19" s="28">
        <f t="shared" si="4"/>
        <v>1.8</v>
      </c>
      <c r="G19" s="28">
        <f t="shared" si="5"/>
        <v>1.8</v>
      </c>
      <c r="H19" s="28">
        <f t="shared" si="0"/>
        <v>2.4</v>
      </c>
      <c r="I19" s="28">
        <f t="shared" si="1"/>
        <v>40</v>
      </c>
      <c r="J19" s="28">
        <f t="shared" si="2"/>
        <v>40</v>
      </c>
      <c r="K19" s="28">
        <f t="shared" si="3"/>
        <v>40</v>
      </c>
    </row>
    <row r="20" ht="20.1" customHeight="1" spans="1:11">
      <c r="A20" s="16">
        <v>11</v>
      </c>
      <c r="B20" s="16" t="s">
        <v>29</v>
      </c>
      <c r="C20" s="15" t="s">
        <v>27</v>
      </c>
      <c r="D20" s="15"/>
      <c r="E20" s="15">
        <v>11</v>
      </c>
      <c r="F20" s="28">
        <f t="shared" si="4"/>
        <v>3.3</v>
      </c>
      <c r="G20" s="28">
        <f t="shared" si="5"/>
        <v>3.3</v>
      </c>
      <c r="H20" s="28">
        <f t="shared" si="0"/>
        <v>4.4</v>
      </c>
      <c r="I20" s="28">
        <f t="shared" si="1"/>
        <v>73.3333333333333</v>
      </c>
      <c r="J20" s="28">
        <f t="shared" si="2"/>
        <v>73.3333333333333</v>
      </c>
      <c r="K20" s="28">
        <f t="shared" si="3"/>
        <v>73.3333333333333</v>
      </c>
    </row>
    <row r="21" ht="24.95" customHeight="1" spans="1:11">
      <c r="A21" s="17" t="s">
        <v>30</v>
      </c>
      <c r="B21" s="17"/>
      <c r="C21" s="17"/>
      <c r="D21" s="18">
        <f>(I25+J25+K25)/3</f>
        <v>2.66666666666667</v>
      </c>
      <c r="E21" s="18"/>
      <c r="F21" s="29" t="s">
        <v>31</v>
      </c>
      <c r="G21" s="30" t="s">
        <v>32</v>
      </c>
      <c r="H21" s="30"/>
      <c r="I21" s="39">
        <f>COUNTIF(I10:I20,"AB")</f>
        <v>0</v>
      </c>
      <c r="J21" s="39">
        <f t="shared" ref="J21:K21" si="6">COUNTIF(J10:J20,"AB")</f>
        <v>0</v>
      </c>
      <c r="K21" s="39">
        <f t="shared" si="6"/>
        <v>0</v>
      </c>
    </row>
    <row r="22" ht="24.95" customHeight="1" spans="1:11">
      <c r="A22" s="17" t="s">
        <v>33</v>
      </c>
      <c r="B22" s="17"/>
      <c r="C22" s="17"/>
      <c r="D22" s="17" t="s">
        <v>34</v>
      </c>
      <c r="E22" s="17"/>
      <c r="F22" s="29"/>
      <c r="G22" s="31" t="s">
        <v>35</v>
      </c>
      <c r="H22" s="31"/>
      <c r="I22" s="40">
        <v>11</v>
      </c>
      <c r="J22" s="40">
        <v>11</v>
      </c>
      <c r="K22" s="40">
        <v>11</v>
      </c>
    </row>
    <row r="23" ht="24.95" customHeight="1" spans="1:11">
      <c r="A23" s="19" t="s">
        <v>36</v>
      </c>
      <c r="B23" s="19"/>
      <c r="C23" s="19"/>
      <c r="D23" s="18" t="s">
        <v>34</v>
      </c>
      <c r="E23" s="18"/>
      <c r="F23" s="29"/>
      <c r="G23" s="31" t="s">
        <v>37</v>
      </c>
      <c r="H23" s="31"/>
      <c r="I23" s="40">
        <f>COUNTIF(I10:I20,"&gt;50")</f>
        <v>8</v>
      </c>
      <c r="J23" s="40">
        <f t="shared" ref="J23:K23" si="7">COUNTIF(J10:J20,"&gt;50")</f>
        <v>8</v>
      </c>
      <c r="K23" s="40">
        <f t="shared" si="7"/>
        <v>7</v>
      </c>
    </row>
    <row r="24" ht="24.95" customHeight="1" spans="1:11">
      <c r="A24" s="19" t="s">
        <v>38</v>
      </c>
      <c r="B24" s="19"/>
      <c r="C24" s="19"/>
      <c r="D24" s="18" t="s">
        <v>34</v>
      </c>
      <c r="E24" s="18"/>
      <c r="F24" s="29"/>
      <c r="G24" s="31" t="s">
        <v>39</v>
      </c>
      <c r="H24" s="31"/>
      <c r="I24" s="41">
        <f t="shared" ref="I24:K24" si="8">(I23*100)/11</f>
        <v>72.7272727272727</v>
      </c>
      <c r="J24" s="41">
        <f t="shared" si="8"/>
        <v>72.7272727272727</v>
      </c>
      <c r="K24" s="41">
        <f t="shared" si="8"/>
        <v>63.6363636363636</v>
      </c>
    </row>
    <row r="25" ht="39.75" customHeight="1" spans="1:11">
      <c r="A25" s="20" t="s">
        <v>40</v>
      </c>
      <c r="B25" s="20"/>
      <c r="C25" s="20"/>
      <c r="D25" s="18" t="s">
        <v>34</v>
      </c>
      <c r="E25" s="18"/>
      <c r="F25" s="29"/>
      <c r="G25" s="31" t="s">
        <v>41</v>
      </c>
      <c r="H25" s="31"/>
      <c r="I25" s="42">
        <f t="shared" ref="I25:K25" si="9">IF(I24&gt;70,3,IF(I24&gt;60,2,IF(I24&gt;50,1,0)))</f>
        <v>3</v>
      </c>
      <c r="J25" s="42">
        <f t="shared" si="9"/>
        <v>3</v>
      </c>
      <c r="K25" s="42">
        <f t="shared" si="9"/>
        <v>2</v>
      </c>
    </row>
    <row r="26" ht="15.75"/>
  </sheetData>
  <protectedRanges>
    <protectedRange sqref="C3:C5" name="Range1"/>
  </protectedRanges>
  <mergeCells count="36">
    <mergeCell ref="A1:K1"/>
    <mergeCell ref="A2:K2"/>
    <mergeCell ref="F3:H3"/>
    <mergeCell ref="I3:K3"/>
    <mergeCell ref="G4:H4"/>
    <mergeCell ref="J4:K4"/>
    <mergeCell ref="G5:H5"/>
    <mergeCell ref="J5:K5"/>
    <mergeCell ref="A6:K6"/>
    <mergeCell ref="F7:H7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A21:C21"/>
    <mergeCell ref="G21:H21"/>
    <mergeCell ref="A22:C22"/>
    <mergeCell ref="G22:H22"/>
    <mergeCell ref="A23:C23"/>
    <mergeCell ref="G23:H23"/>
    <mergeCell ref="A24:C24"/>
    <mergeCell ref="G24:H24"/>
    <mergeCell ref="A25:C25"/>
    <mergeCell ref="G25:H25"/>
    <mergeCell ref="E7:E8"/>
    <mergeCell ref="F21:F25"/>
    <mergeCell ref="A7:D8"/>
    <mergeCell ref="A3:B5"/>
  </mergeCells>
  <pageMargins left="0.7" right="0.7" top="0.75" bottom="0.75" header="0.3" footer="0.3"/>
  <pageSetup paperSize="9" scale="80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 Method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rt</cp:lastModifiedBy>
  <dcterms:created xsi:type="dcterms:W3CDTF">2006-09-16T05:30:00Z</dcterms:created>
  <dcterms:modified xsi:type="dcterms:W3CDTF">2026-02-04T22:01:12Z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